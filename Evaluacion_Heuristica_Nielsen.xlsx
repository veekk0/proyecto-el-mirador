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o-alumno\Downloads\"/>
    </mc:Choice>
  </mc:AlternateContent>
  <xr:revisionPtr revIDLastSave="0" documentId="13_ncr:1_{89166857-4EB1-497B-9737-4DA3C3841AD8}" xr6:coauthVersionLast="47" xr6:coauthVersionMax="47" xr10:uidLastSave="{00000000-0000-0000-0000-000000000000}"/>
  <bookViews>
    <workbookView xWindow="1515" yWindow="1515" windowWidth="21600" windowHeight="11295" activeTab="2" xr2:uid="{00000000-000D-0000-FFFF-FFFF00000000}"/>
  </bookViews>
  <sheets>
    <sheet name="Instrucciones" sheetId="1" r:id="rId1"/>
    <sheet name="Evaluacion" sheetId="2" r:id="rId2"/>
    <sheet name="Resumen" sheetId="3" r:id="rId3"/>
    <sheet name="Referenc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2" i="3" l="1"/>
  <c r="D22" i="3"/>
  <c r="C22" i="3"/>
  <c r="G22" i="3" s="1"/>
  <c r="E21" i="3"/>
  <c r="D21" i="3"/>
  <c r="C21" i="3"/>
  <c r="G21" i="3" s="1"/>
  <c r="E20" i="3"/>
  <c r="D20" i="3"/>
  <c r="C20" i="3"/>
  <c r="E19" i="3"/>
  <c r="D19" i="3"/>
  <c r="C19" i="3"/>
  <c r="F19" i="3" s="1"/>
  <c r="E18" i="3"/>
  <c r="D18" i="3"/>
  <c r="C18" i="3"/>
  <c r="G18" i="3" s="1"/>
  <c r="E17" i="3"/>
  <c r="D17" i="3"/>
  <c r="C17" i="3"/>
  <c r="E16" i="3"/>
  <c r="D16" i="3"/>
  <c r="C16" i="3"/>
  <c r="G16" i="3" s="1"/>
  <c r="E15" i="3"/>
  <c r="D15" i="3"/>
  <c r="C15" i="3"/>
  <c r="E14" i="3"/>
  <c r="D14" i="3"/>
  <c r="C14" i="3"/>
  <c r="F14" i="3" s="1"/>
  <c r="E13" i="3"/>
  <c r="D13" i="3"/>
  <c r="C13" i="3"/>
  <c r="C9" i="3"/>
  <c r="C8" i="3"/>
  <c r="C7" i="3"/>
  <c r="C6" i="3"/>
  <c r="C5" i="3"/>
  <c r="G15" i="3" l="1"/>
  <c r="G20" i="3"/>
  <c r="G13" i="3"/>
  <c r="G17" i="3"/>
  <c r="F17" i="3"/>
  <c r="F16" i="3"/>
  <c r="G14" i="3"/>
  <c r="F21" i="3"/>
  <c r="F13" i="3"/>
  <c r="F18" i="3"/>
  <c r="F20" i="3"/>
  <c r="F15" i="3"/>
  <c r="G19" i="3"/>
  <c r="F22" i="3"/>
</calcChain>
</file>

<file path=xl/sharedStrings.xml><?xml version="1.0" encoding="utf-8"?>
<sst xmlns="http://schemas.openxmlformats.org/spreadsheetml/2006/main" count="164" uniqueCount="155">
  <si>
    <t>EVALUACION HEURISTICA DE USABILIDAD - NIELSEN</t>
  </si>
  <si>
    <t>INSTRUCCIONES DE USO</t>
  </si>
  <si>
    <t>1. Complete los datos del equipo evaluador en esta hoja.</t>
  </si>
  <si>
    <t>2. Navegue por el MVP asignado durante al menos 20 minutos antes de evaluar.</t>
  </si>
  <si>
    <t>3. Use la hoja 'Evaluacion' para registrar todos los problemas encontrados.</t>
  </si>
  <si>
    <t>4. Para cada problema, asigne una severidad segun la escala de Nielsen (0 a 4).</t>
  </si>
  <si>
    <t>5. Documente con capturas de pantalla o notas descriptivas en la columna Evidencia.</t>
  </si>
  <si>
    <t>6. La hoja 'Resumen' se actualiza automaticamente al completar la evaluacion.</t>
  </si>
  <si>
    <t>7. La hoja 'Referencia' contiene los principios y ejemplos para consulta.</t>
  </si>
  <si>
    <t>ESCALA DE SEVERIDAD (Nielsen, 1994)</t>
  </si>
  <si>
    <t>0</t>
  </si>
  <si>
    <t>No es un problema de usabilidad</t>
  </si>
  <si>
    <t>1</t>
  </si>
  <si>
    <t>2</t>
  </si>
  <si>
    <t>3</t>
  </si>
  <si>
    <t>4</t>
  </si>
  <si>
    <t>REGISTRO DE PROBLEMAS DE USABILIDAD — EVALUACION HEURISTICA</t>
  </si>
  <si>
    <t>Complete una fila por cada problema encontrado. Puede agregar mas filas segun sea necesario.</t>
  </si>
  <si>
    <t>#</t>
  </si>
  <si>
    <t>Heuristica</t>
  </si>
  <si>
    <t>Descripcion del problema</t>
  </si>
  <si>
    <t>Severidad
(0-4)</t>
  </si>
  <si>
    <t>Evidencia
(captura/URL)</t>
  </si>
  <si>
    <t>Recomendacion de mejora</t>
  </si>
  <si>
    <t>Evaluador</t>
  </si>
  <si>
    <t>Los valores se calculan automaticamente desde la hoja Evaluacion</t>
  </si>
  <si>
    <t>METRICAS GLOBALES</t>
  </si>
  <si>
    <t>Total de problemas registrados</t>
  </si>
  <si>
    <t>Promedio de severidad</t>
  </si>
  <si>
    <t>Problemas catastroficos (sev. 4)</t>
  </si>
  <si>
    <t>Problemas mayores (sev. 3)</t>
  </si>
  <si>
    <t>Problemas menores (sev. 1-2)</t>
  </si>
  <si>
    <t>DISTRIBUCION POR HEURISTICA</t>
  </si>
  <si>
    <t># Problemas</t>
  </si>
  <si>
    <t>Sev. Max.</t>
  </si>
  <si>
    <t>Sev. Prom.</t>
  </si>
  <si>
    <t>Estado</t>
  </si>
  <si>
    <t>Prioridad</t>
  </si>
  <si>
    <t>H1 - Visibilidad del estado</t>
  </si>
  <si>
    <t>H2 - Sistema y mundo real</t>
  </si>
  <si>
    <t>H3 - Control y libertad</t>
  </si>
  <si>
    <t>H4 - Consistencia y estandares</t>
  </si>
  <si>
    <t>H5 - Prevencion de errores</t>
  </si>
  <si>
    <t>H6 - Reconocimiento &gt; recuerdo</t>
  </si>
  <si>
    <t>H7 - Flexibilidad y eficiencia</t>
  </si>
  <si>
    <t>H8 - Diseno minimalista</t>
  </si>
  <si>
    <t>H9 - Recuperacion de errores</t>
  </si>
  <si>
    <t>H10 - Ayuda y documentacion</t>
  </si>
  <si>
    <t>REFERENCIA RAPIDA — 10 HEURISTICAS DE NIELSEN</t>
  </si>
  <si>
    <t>Consulta este panel mientras evaluas el MVP. Los ejemplos son orientativos para sistemas web/movil.</t>
  </si>
  <si>
    <t>Descripcion del principio</t>
  </si>
  <si>
    <t>Ejemplo en MVP (buena practica)</t>
  </si>
  <si>
    <t>Señal de problema a registrar</t>
  </si>
  <si>
    <t>H1</t>
  </si>
  <si>
    <t>Visibilidad del estado</t>
  </si>
  <si>
    <t>El sistema mantiene informado al usuario sobre lo que ocurre mediante feedback oportuno.</t>
  </si>
  <si>
    <t>Barra de progreso al subir archivos. Spinner de carga. Toast de confirmacion al guardar datos.</t>
  </si>
  <si>
    <t>Boton que no responde visualmente. Sin indicador de carga. Usuario no sabe si la accion funciono.</t>
  </si>
  <si>
    <t>H2</t>
  </si>
  <si>
    <t>Sistema y mundo real</t>
  </si>
  <si>
    <t>El sistema usa el lenguaje del usuario: palabras y conceptos familiares, no tecnicos.</t>
  </si>
  <si>
    <t>Icono de carrito para compras. 'Papelera' para eliminar. Fechas en formato dd/mm/aaaa.</t>
  </si>
  <si>
    <t>Mensajes tecnicos: 'Error 403 Forbidden'. Terminos internos del sistema expuestos al usuario.</t>
  </si>
  <si>
    <t>H3</t>
  </si>
  <si>
    <t>Control y libertad</t>
  </si>
  <si>
    <t>El usuario puede salir de acciones no deseadas con salidas de emergencia claras.</t>
  </si>
  <si>
    <t>Opcion Deshacer al eliminar elemento. Boton Cancelar en formularios. Navegacion por pasos reversible.</t>
  </si>
  <si>
    <t>Sin forma de cancelar un proceso. Formulario sin boton Atras. Sin opcion de deshacer eliminacion.</t>
  </si>
  <si>
    <t>H4</t>
  </si>
  <si>
    <t>Consistencia y estandares</t>
  </si>
  <si>
    <t>Las mismas acciones y elementos se comportan igual en todo el sistema.</t>
  </si>
  <si>
    <t>Boton primario mismo color en todo el sistema. Color rojo siempre indica error. Campos en mismo orden.</t>
  </si>
  <si>
    <t>Guardar, Registrar y Confirmar para la misma accion. Botones de distinto color por modulo.</t>
  </si>
  <si>
    <t>H5</t>
  </si>
  <si>
    <t>Prevencion de errores</t>
  </si>
  <si>
    <t>El diseño evita que los errores ocurran antes de que el usuario los cometa.</t>
  </si>
  <si>
    <t>Campo deshabilitado si falta informacion. Confirmacion antes de eliminar. Validacion en tiempo real.</t>
  </si>
  <si>
    <t>Fecha 30/02 se acepta sin validar. Boton Enviar activo con campos requeridos vacios.</t>
  </si>
  <si>
    <t>H6</t>
  </si>
  <si>
    <t>Reconocimiento &gt; recuerdo</t>
  </si>
  <si>
    <t>Minimizar la carga de memoria: las opciones disponibles deben ser visibles, no memorizadas.</t>
  </si>
  <si>
    <t>Autocompletado en busquedas. Historial de elementos recientes. Breadcrumbs de navegacion.</t>
  </si>
  <si>
    <t>Usuario debe recordar sintaxis exacta. Formulario borra datos al navegar hacia atras.</t>
  </si>
  <si>
    <t>H7</t>
  </si>
  <si>
    <t>Flexibilidad y eficiencia</t>
  </si>
  <si>
    <t>Atajos para expertos sin afectar la experiencia de usuarios nuevos.</t>
  </si>
  <si>
    <t>Atajos de teclado Ctrl+N. Filtros guardados. Exportacion masiva de datos con un clic.</t>
  </si>
  <si>
    <t>Solo se puede registrar de uno en uno. No hay forma de repetir la ultima accion ejecutada.</t>
  </si>
  <si>
    <t>H8</t>
  </si>
  <si>
    <t>Diseño minimalista</t>
  </si>
  <si>
    <t>Solo la informacion necesaria: los elementos irrelevantes compiten por la atencion del usuario.</t>
  </si>
  <si>
    <t>Dashboard con 3 a 5 metricas clave. Formulario en pasos, no todo en una pantalla.</t>
  </si>
  <si>
    <t>20 botones visibles simultaneamente. Panel con informacion que nunca se usa en el flujo principal.</t>
  </si>
  <si>
    <t>H9</t>
  </si>
  <si>
    <t>Recuperacion de errores</t>
  </si>
  <si>
    <t>Los mensajes de error son claros, indican el problema exacto y sugieren una solucion concreta.</t>
  </si>
  <si>
    <t>'El correo no tiene formato valido (ej: usuario@dominio.com)'. Enlace directo a solucion del error.</t>
  </si>
  <si>
    <t>'Error 500'. 'Operacion fallida'. Mensaje generico sin indicar que hacer para resolverlo.</t>
  </si>
  <si>
    <t>H10</t>
  </si>
  <si>
    <t>Ayuda y documentacion</t>
  </si>
  <si>
    <t>La ayuda es facil de encontrar, orientada a tareas concretas y accesible desde el flujo.</t>
  </si>
  <si>
    <t>Tooltip contextual en campos complejos. Guia de inicio rapido. FAQ con buscador integrado.</t>
  </si>
  <si>
    <t>Manual PDF de 80 paginas sin buscador. Ayuda solo accesible desde el menu principal oculto.</t>
  </si>
  <si>
    <t>Ingenieria de Software - Calidad y Pruebas - Plantilla de Evaluacion</t>
  </si>
  <si>
    <t>Problema cosmético | corregir solo si hay tiempo</t>
  </si>
  <si>
    <t>Problema menor | baja prioridad de correccion</t>
  </si>
  <si>
    <t>Problema mayor  | alta prioridad, dificulta el uso</t>
  </si>
  <si>
    <t>CATASTROFICO | imperativo corregir antes del lanzamiento</t>
  </si>
  <si>
    <t>RESUMEN EJECUTIVO  EVALUACION HEURISTICA</t>
  </si>
  <si>
    <t>Ubicacion en el Prototipo</t>
  </si>
  <si>
    <r>
      <t xml:space="preserve">En la zona de "Acceso Rápido de Demostración", el tercer botón dice </t>
    </r>
    <r>
      <rPr>
        <b/>
        <sz val="11"/>
        <color theme="1"/>
        <rFont val="Calibri"/>
        <family val="2"/>
        <scheme val="minor"/>
      </rPr>
      <t>"Entrar como Corredor (Portafolio Múltiple)"</t>
    </r>
    <r>
      <rPr>
        <sz val="11"/>
        <color theme="1"/>
        <rFont val="Calibri"/>
        <family val="2"/>
        <scheme val="minor"/>
      </rPr>
      <t xml:space="preserve">. Sin embargo, de acuerdo a la documentación de su arquitectura (DAS) y la barra superior de la app, el rol oficial para ese portal de autogestión es estrictamente </t>
    </r>
    <r>
      <rPr>
        <b/>
        <sz val="11"/>
        <color theme="1"/>
        <rFont val="Calibri"/>
        <family val="2"/>
        <scheme val="minor"/>
      </rPr>
      <t>"Residente"</t>
    </r>
    <r>
      <rPr>
        <sz val="11"/>
        <color theme="1"/>
        <rFont val="Calibri"/>
        <family val="2"/>
        <scheme val="minor"/>
      </rPr>
      <t>. Esto confunde sobre los roles del sistema habitacional.</t>
    </r>
  </si>
  <si>
    <r>
      <t>En el formulario "Reservar Espacio: Quincho", el campo de selección de fecha es un input de texto libre con formato nativo (</t>
    </r>
    <r>
      <rPr>
        <sz val="10"/>
        <color theme="1"/>
        <rFont val="Arial Unicode MS"/>
        <family val="2"/>
      </rPr>
      <t>dd/mm/aaaa</t>
    </r>
    <r>
      <rPr>
        <sz val="11"/>
        <color theme="1"/>
        <rFont val="Calibri"/>
        <family val="2"/>
        <scheme val="minor"/>
      </rPr>
      <t>). Esto permite que un residente digite manualmente texto inválido o intente reservar un día inexistente (ej: 31 de febrero) antes de presionar confirmar.</t>
    </r>
  </si>
  <si>
    <r>
      <t xml:space="preserve">Los botones de confirmación de los formularios modales usan estilos inconsistentes. El botón para el quincho dice </t>
    </r>
    <r>
      <rPr>
        <i/>
        <sz val="11"/>
        <color theme="1"/>
        <rFont val="Calibri"/>
        <family val="2"/>
        <scheme val="minor"/>
      </rPr>
      <t>"Confirmar Reserva"</t>
    </r>
    <r>
      <rPr>
        <sz val="11"/>
        <color theme="1"/>
        <rFont val="Calibri"/>
        <family val="2"/>
        <scheme val="minor"/>
      </rPr>
      <t xml:space="preserve"> con el texto completo en color blanco. Sin embargo, en el modal de incidencias, el botón dice </t>
    </r>
    <r>
      <rPr>
        <i/>
        <sz val="11"/>
        <color theme="1"/>
        <rFont val="Calibri"/>
        <family val="2"/>
        <scheme val="minor"/>
      </rPr>
      <t>"Enviar Invitación / Reporte"</t>
    </r>
    <r>
      <rPr>
        <sz val="11"/>
        <color theme="1"/>
        <rFont val="Calibri"/>
        <family val="2"/>
        <scheme val="minor"/>
      </rPr>
      <t xml:space="preserve"> pero la última letra (</t>
    </r>
    <r>
      <rPr>
        <b/>
        <sz val="11"/>
        <color theme="1"/>
        <rFont val="Calibri"/>
        <family val="2"/>
        <scheme val="minor"/>
      </rPr>
      <t>la "e"</t>
    </r>
    <r>
      <rPr>
        <sz val="11"/>
        <color theme="1"/>
        <rFont val="Calibri"/>
        <family val="2"/>
        <scheme val="minor"/>
      </rPr>
      <t xml:space="preserve">) aparece de color </t>
    </r>
    <r>
      <rPr>
        <b/>
        <sz val="11"/>
        <color theme="1"/>
        <rFont val="Calibri"/>
        <family val="2"/>
        <scheme val="minor"/>
      </rPr>
      <t>naranja/rojo</t>
    </r>
    <r>
      <rPr>
        <sz val="11"/>
        <color theme="1"/>
        <rFont val="Calibri"/>
        <family val="2"/>
        <scheme val="minor"/>
      </rPr>
      <t>, rompiendo la paleta cromática del sistema sin motivo.</t>
    </r>
  </si>
  <si>
    <r>
      <t xml:space="preserve">En el formulario modal para "Reportar Incidencia o Problema", el botón de acción principal dice </t>
    </r>
    <r>
      <rPr>
        <b/>
        <sz val="11"/>
        <color theme="1"/>
        <rFont val="Calibri"/>
        <family val="2"/>
        <scheme val="minor"/>
      </rPr>
      <t>"Enviar Invitación / Reporte"</t>
    </r>
    <r>
      <rPr>
        <sz val="11"/>
        <color theme="1"/>
        <rFont val="Calibri"/>
        <family val="2"/>
        <scheme val="minor"/>
      </rPr>
      <t xml:space="preserve">. El término </t>
    </r>
    <r>
      <rPr>
        <i/>
        <sz val="11"/>
        <color theme="1"/>
        <rFont val="Calibri"/>
        <family val="2"/>
        <scheme val="minor"/>
      </rPr>
      <t>"Invitación"</t>
    </r>
    <r>
      <rPr>
        <sz val="11"/>
        <color theme="1"/>
        <rFont val="Calibri"/>
        <family val="2"/>
        <scheme val="minor"/>
      </rPr>
      <t xml:space="preserve"> no tiene ninguna relación con el contexto del edificio ni con registrar una falla técnica o queja de copropiedad, rompiendo la consistencia conceptual.</t>
    </r>
  </si>
  <si>
    <r>
      <t xml:space="preserve">En la pantalla de checkout del Portal de Recaudación, las variables del monto dinámico no están renderizando el número de la deuda, sino que muestran el texto crudo del error de código: </t>
    </r>
    <r>
      <rPr>
        <b/>
        <sz val="10"/>
        <color theme="1"/>
        <rFont val="Arial Unicode MS"/>
        <family val="2"/>
      </rPr>
      <t>$[object Object] CLP</t>
    </r>
    <r>
      <rPr>
        <sz val="11"/>
        <color theme="1"/>
        <rFont val="Calibri"/>
        <family val="2"/>
        <scheme val="minor"/>
      </rPr>
      <t>. Esto ocurre en el Subtotal, en el Total a debitar y dentro del texto del botón de pago. El usuario no tiene idea de cuánto dinero real va a autorizar con su tarjeta.</t>
    </r>
  </si>
  <si>
    <t>Portal de Recaudación Transparente (Pantalla de Pasarela).</t>
  </si>
  <si>
    <t>image_8cbb49.png</t>
  </si>
  <si>
    <r>
      <t xml:space="preserve">Corregir la interpolación de variables en el código Frontend (asegurarse de acceder al atributo interno del objeto, ej: </t>
    </r>
    <r>
      <rPr>
        <sz val="10"/>
        <color theme="1"/>
        <rFont val="Arial Unicode MS"/>
        <family val="2"/>
      </rPr>
      <t>deuda.monto</t>
    </r>
    <r>
      <rPr>
        <sz val="11"/>
        <color theme="1"/>
        <rFont val="Calibri"/>
        <family val="2"/>
        <scheme val="minor"/>
      </rPr>
      <t xml:space="preserve"> en lugar de pasar el objeto completo a la vista).</t>
    </r>
  </si>
  <si>
    <r>
      <t xml:space="preserve">Cambiar el texto del botón negro para que sea directo y consistente con el título: </t>
    </r>
    <r>
      <rPr>
        <i/>
        <sz val="11"/>
        <color theme="1"/>
        <rFont val="Calibri"/>
        <family val="2"/>
        <scheme val="minor"/>
      </rPr>
      <t>"Enviar Reporte"</t>
    </r>
    <r>
      <rPr>
        <sz val="11"/>
        <color theme="1"/>
        <rFont val="Calibri"/>
        <family val="2"/>
        <scheme val="minor"/>
      </rPr>
      <t xml:space="preserve"> o </t>
    </r>
    <r>
      <rPr>
        <i/>
        <sz val="11"/>
        <color theme="1"/>
        <rFont val="Calibri"/>
        <family val="2"/>
        <scheme val="minor"/>
      </rPr>
      <t>"Crear Ticket"</t>
    </r>
    <r>
      <rPr>
        <sz val="11"/>
        <color theme="1"/>
        <rFont val="Calibri"/>
        <family val="2"/>
        <scheme val="minor"/>
      </rPr>
      <t>.</t>
    </r>
  </si>
  <si>
    <t>image_8cbbcb.png</t>
  </si>
  <si>
    <t>Modal de Reportar Incidencia.</t>
  </si>
  <si>
    <t>Botones de acción en Modales de Operaciones Rápidas.</t>
  </si>
  <si>
    <r>
      <t>Revisar las clases de estilos CSS o etiquetas HTML en el botón para asegurar que todo el texto mantenga un color uniforme (</t>
    </r>
    <r>
      <rPr>
        <sz val="10"/>
        <color theme="1"/>
        <rFont val="Arial Unicode MS"/>
        <family val="2"/>
      </rPr>
      <t>#FFFFFF</t>
    </r>
    <r>
      <rPr>
        <sz val="11"/>
        <color theme="1"/>
        <rFont val="Calibri"/>
        <family val="2"/>
        <scheme val="minor"/>
      </rPr>
      <t>).</t>
    </r>
  </si>
  <si>
    <t>Modal Reservar Quincho.</t>
  </si>
  <si>
    <t>image_8cbbaa.png</t>
  </si>
  <si>
    <t>Forzar el uso de un selector de calendario desplegable visual (Datepicker) que restrinja la escritura manual y bloquee los días que no correspondan.</t>
  </si>
  <si>
    <t>Pantalla de Bienvenida / Login.</t>
  </si>
  <si>
    <t>image_8cb827.png</t>
  </si>
  <si>
    <r>
      <t xml:space="preserve">Modificar el botón de demostración para que refleje los roles estipulados en el diseño lógico (ej: </t>
    </r>
    <r>
      <rPr>
        <i/>
        <sz val="11"/>
        <color theme="1"/>
        <rFont val="Calibri"/>
        <family val="2"/>
        <scheme val="minor"/>
      </rPr>
      <t>"Portal Residente - Vista Propietario"</t>
    </r>
    <r>
      <rPr>
        <sz val="11"/>
        <color theme="1"/>
        <rFont val="Calibri"/>
        <family val="2"/>
        <scheme val="minor"/>
      </rPr>
      <t xml:space="preserve"> o </t>
    </r>
    <r>
      <rPr>
        <i/>
        <sz val="11"/>
        <color theme="1"/>
        <rFont val="Calibri"/>
        <family val="2"/>
        <scheme val="minor"/>
      </rPr>
      <t>"Vista Arrendatario"</t>
    </r>
    <r>
      <rPr>
        <sz val="11"/>
        <color theme="1"/>
        <rFont val="Calibri"/>
        <family val="2"/>
        <scheme val="minor"/>
      </rPr>
      <t>).</t>
    </r>
  </si>
  <si>
    <r>
      <rPr>
        <sz val="11"/>
        <color theme="1"/>
        <rFont val="Calibri"/>
        <family val="2"/>
        <scheme val="minor"/>
      </rPr>
      <t xml:space="preserve">En la esquina inferior izquierda de la pantalla principal del residente, el prototipo muestra de manera fija textos técnicos de programación como: </t>
    </r>
    <r>
      <rPr>
        <b/>
        <sz val="10"/>
        <color theme="1"/>
        <rFont val="Arial Unicode MS"/>
        <family val="2"/>
      </rPr>
      <t>Base: SQLite-Memory (Vite)</t>
    </r>
    <r>
      <rPr>
        <sz val="11"/>
        <color theme="1"/>
        <rFont val="Calibri"/>
        <family val="2"/>
        <scheme val="minor"/>
      </rPr>
      <t xml:space="preserve"> y </t>
    </r>
    <r>
      <rPr>
        <b/>
        <sz val="10"/>
        <color theme="1"/>
        <rFont val="Arial Unicode MS"/>
        <family val="2"/>
      </rPr>
      <t>Firma Digital Sólida (256)</t>
    </r>
    <r>
      <rPr>
        <sz val="11"/>
        <color theme="1"/>
        <rFont val="Calibri"/>
        <family val="2"/>
        <scheme val="minor"/>
      </rPr>
      <t>. Esta información es jerga de desarrollo de software que no aporta ningún valor al residente del edificio y satura la vista con tecnicismos innecesarios.</t>
    </r>
  </si>
  <si>
    <t>Barra lateral izquierda / Footer de la interfaz (Escritorio Residencial).</t>
  </si>
  <si>
    <t>image_8cb883.png</t>
  </si>
  <si>
    <t>Ocultar o eliminar estas etiquetas en el entorno de producción final, dejándolas disponibles únicamente en los logs de consola para el equipo de desarrollo.</t>
  </si>
  <si>
    <r>
      <t xml:space="preserve">En la tabla de "Últimos Pagos Realizados", las fechas de los meses anteriores se muestran en un formato mixto abreviado en inglés (ej: </t>
    </r>
    <r>
      <rPr>
        <b/>
        <sz val="10"/>
        <color theme="1"/>
        <rFont val="Arial Unicode MS"/>
        <family val="2"/>
      </rPr>
      <t>24 Oct 2023</t>
    </r>
    <r>
      <rPr>
        <sz val="11"/>
        <color theme="1"/>
        <rFont val="Calibri"/>
        <family val="2"/>
        <scheme val="minor"/>
      </rPr>
      <t xml:space="preserve">, </t>
    </r>
    <r>
      <rPr>
        <b/>
        <sz val="10"/>
        <color theme="1"/>
        <rFont val="Arial Unicode MS"/>
        <family val="2"/>
      </rPr>
      <t>05 Sep 2023</t>
    </r>
    <r>
      <rPr>
        <sz val="11"/>
        <color theme="1"/>
        <rFont val="Calibri"/>
        <family val="2"/>
        <scheme val="minor"/>
      </rPr>
      <t xml:space="preserve">, </t>
    </r>
    <r>
      <rPr>
        <b/>
        <sz val="10"/>
        <color theme="1"/>
        <rFont val="Arial Unicode MS"/>
        <family val="2"/>
      </rPr>
      <t>03 Aug 2023</t>
    </r>
    <r>
      <rPr>
        <sz val="11"/>
        <color theme="1"/>
        <rFont val="Calibri"/>
        <family val="2"/>
        <scheme val="minor"/>
      </rPr>
      <t>). Al mezclar el idioma del sistema con abreviaciones anglosajonas (</t>
    </r>
    <r>
      <rPr>
        <sz val="10"/>
        <color theme="1"/>
        <rFont val="Arial Unicode MS"/>
        <family val="2"/>
      </rPr>
      <t>Aug</t>
    </r>
    <r>
      <rPr>
        <sz val="11"/>
        <color theme="1"/>
        <rFont val="Calibri"/>
        <family val="2"/>
        <scheme val="minor"/>
      </rPr>
      <t xml:space="preserve"> en lugar de </t>
    </r>
    <r>
      <rPr>
        <sz val="10"/>
        <color theme="1"/>
        <rFont val="Arial Unicode MS"/>
        <family val="2"/>
      </rPr>
      <t>Ago</t>
    </r>
    <r>
      <rPr>
        <sz val="11"/>
        <color theme="1"/>
        <rFont val="Calibri"/>
        <family val="2"/>
        <scheme val="minor"/>
      </rPr>
      <t>), obligas al usuario de la comunidad (que incluye adultos mayores según tu DAS) a hacer un esfuerzo mental extra para reconocer el mes exacto de su recibo.</t>
    </r>
  </si>
  <si>
    <t>Sección "Últimos Pagos Realizados" del Escritorio Residencial.</t>
  </si>
  <si>
    <r>
      <t>2</t>
    </r>
    <r>
      <rPr>
        <sz val="11"/>
        <color theme="1"/>
        <rFont val="Calibri"/>
        <family val="2"/>
        <scheme val="minor"/>
      </rPr>
      <t xml:space="preserve"> (Problema de usabilidad menor: afecta la claridad de la lectura histórica).</t>
    </r>
  </si>
  <si>
    <r>
      <t xml:space="preserve">Configurar la localización de fechas del frontend en español chileno para que renderice los campos de manera clara y natural: </t>
    </r>
    <r>
      <rPr>
        <i/>
        <sz val="11"/>
        <color theme="1"/>
        <rFont val="Calibri"/>
        <family val="2"/>
        <scheme val="minor"/>
      </rPr>
      <t>"24 de Octubre"</t>
    </r>
    <r>
      <rPr>
        <sz val="11"/>
        <color theme="1"/>
        <rFont val="Calibri"/>
        <family val="2"/>
        <scheme val="minor"/>
      </rPr>
      <t xml:space="preserve">, </t>
    </r>
    <r>
      <rPr>
        <i/>
        <sz val="11"/>
        <color theme="1"/>
        <rFont val="Calibri"/>
        <family val="2"/>
        <scheme val="minor"/>
      </rPr>
      <t>"05 de Septiembre"</t>
    </r>
    <r>
      <rPr>
        <sz val="11"/>
        <color theme="1"/>
        <rFont val="Calibri"/>
        <family val="2"/>
        <scheme val="minor"/>
      </rPr>
      <t xml:space="preserve">, </t>
    </r>
    <r>
      <rPr>
        <i/>
        <sz val="11"/>
        <color theme="1"/>
        <rFont val="Calibri"/>
        <family val="2"/>
        <scheme val="minor"/>
      </rPr>
      <t>"03 de Agosto"</t>
    </r>
    <r>
      <rPr>
        <sz val="11"/>
        <color theme="1"/>
        <rFont val="Calibri"/>
        <family val="2"/>
        <scheme val="minor"/>
      </rPr>
      <t>.</t>
    </r>
  </si>
  <si>
    <r>
      <t xml:space="preserve">El botón de </t>
    </r>
    <r>
      <rPr>
        <b/>
        <sz val="11"/>
        <color theme="1"/>
        <rFont val="Calibri"/>
        <family val="2"/>
        <scheme val="minor"/>
      </rPr>
      <t>"Cerrar Sesión"</t>
    </r>
    <r>
      <rPr>
        <sz val="11"/>
        <color theme="1"/>
        <rFont val="Calibri"/>
        <family val="2"/>
        <scheme val="minor"/>
      </rPr>
      <t xml:space="preserve"> ubicado en la barra superior derecha, junto al nombre del usuario, se ejecuta de manera inmediata al hacerle un solo clic. Si un residente lo pulsa por accidente mientras está revisando sus deudas, el sistema lo expulsa inmediatamente a la pantalla de login sin pedir una confirmación, obligándolo a escribir sus credenciales de nuevo.</t>
    </r>
  </si>
  <si>
    <t>Barra de Navegación Superior (Header).</t>
  </si>
  <si>
    <r>
      <t xml:space="preserve">Implementar una pequeña ventana modal de confirmación o un cartel de alerta cuando se presione el botón que pregunte: </t>
    </r>
    <r>
      <rPr>
        <i/>
        <sz val="11"/>
        <color theme="1"/>
        <rFont val="Calibri"/>
        <family val="2"/>
        <scheme val="minor"/>
      </rPr>
      <t>¿Estás seguro de que deseas cerrar sesión? [Cancelar] [Sí, Cerrar]</t>
    </r>
    <r>
      <rPr>
        <sz val="11"/>
        <color theme="1"/>
        <rFont val="Calibri"/>
        <family val="2"/>
        <scheme val="minor"/>
      </rPr>
      <t>.</t>
    </r>
  </si>
  <si>
    <r>
      <t xml:space="preserve">En el formulario de pago con Tarjeta de Crédito/Débito, se solicita el campo </t>
    </r>
    <r>
      <rPr>
        <b/>
        <sz val="11"/>
        <color theme="1"/>
        <rFont val="Calibri"/>
        <family val="2"/>
        <scheme val="minor"/>
      </rPr>
      <t>"CVC / CVV"</t>
    </r>
    <r>
      <rPr>
        <sz val="11"/>
        <color theme="1"/>
        <rFont val="Calibri"/>
        <family val="2"/>
        <scheme val="minor"/>
      </rPr>
      <t xml:space="preserve"> acompañado de un ícono de pregunta </t>
    </r>
    <r>
      <rPr>
        <sz val="10"/>
        <color theme="1"/>
        <rFont val="Arial Unicode MS"/>
        <family val="2"/>
      </rPr>
      <t>?</t>
    </r>
    <r>
      <rPr>
        <sz val="11"/>
        <color theme="1"/>
        <rFont val="Calibri"/>
        <family val="2"/>
        <scheme val="minor"/>
      </rPr>
      <t>. Sin embargo, al posicionar el cursor o hacer clic sobre ese ícono, no ocurre nada; no se despliega ninguna explicación ni imagen de ayuda que le indique a los residentes menos tecnológicos dónde encontrar esos 3 dígitos al reverso de su tarjeta física.</t>
    </r>
  </si>
  <si>
    <t>Formulario de Checkout / Método de Pago.</t>
  </si>
  <si>
    <r>
      <t xml:space="preserve">Activar un componente tipo </t>
    </r>
    <r>
      <rPr>
        <i/>
        <sz val="11"/>
        <color theme="1"/>
        <rFont val="Calibri"/>
        <family val="2"/>
        <scheme val="minor"/>
      </rPr>
      <t>Tooltip</t>
    </r>
    <r>
      <rPr>
        <sz val="11"/>
        <color theme="1"/>
        <rFont val="Calibri"/>
        <family val="2"/>
        <scheme val="minor"/>
      </rPr>
      <t xml:space="preserve"> o ventana flotante emergente sobre el ícono de ayuda que muestre gráficamente: </t>
    </r>
    <r>
      <rPr>
        <i/>
        <sz val="11"/>
        <color theme="1"/>
        <rFont val="Calibri"/>
        <family val="2"/>
        <scheme val="minor"/>
      </rPr>
      <t>"Son los 3 dígitos ubicados en la parte trasera de tu tarjeta"</t>
    </r>
    <r>
      <rPr>
        <sz val="11"/>
        <color theme="1"/>
        <rFont val="Calibri"/>
        <family val="2"/>
        <scheme val="minor"/>
      </rPr>
      <t>.</t>
    </r>
  </si>
  <si>
    <r>
      <t xml:space="preserve">Una vez que el usuario ingresa al "Portal de Recaudación Transparente" (pantalla de pago), la barra de navegación lateral izquierda desaparece por completo para concentrar la atención en la transacción. Sin embargo, no se incluye ningún botón visible de </t>
    </r>
    <r>
      <rPr>
        <b/>
        <sz val="11"/>
        <color theme="1"/>
        <rFont val="Calibri"/>
        <family val="2"/>
        <scheme val="minor"/>
      </rPr>
      <t>"Volver al Escritorio"</t>
    </r>
    <r>
      <rPr>
        <sz val="11"/>
        <color theme="1"/>
        <rFont val="Calibri"/>
        <family val="2"/>
        <scheme val="minor"/>
      </rPr>
      <t xml:space="preserve"> o </t>
    </r>
    <r>
      <rPr>
        <b/>
        <sz val="11"/>
        <color theme="1"/>
        <rFont val="Calibri"/>
        <family val="2"/>
        <scheme val="minor"/>
      </rPr>
      <t>"Cancelar Pago"</t>
    </r>
    <r>
      <rPr>
        <sz val="11"/>
        <color theme="1"/>
        <rFont val="Calibri"/>
        <family val="2"/>
        <scheme val="minor"/>
      </rPr>
      <t>. Si el residente decide en el último segundo que prefiere pagar más tarde, se siente atrapado porque la única forma de salir es usar las flechas del navegador web o cerrar la pestaña.</t>
    </r>
  </si>
  <si>
    <t>Interfaz del Proceso de Pago / Checkout.</t>
  </si>
  <si>
    <r>
      <t xml:space="preserve">Colocar un enlace o botón de escape en la parte superior izquierda que diga </t>
    </r>
    <r>
      <rPr>
        <i/>
        <sz val="11"/>
        <color theme="1"/>
        <rFont val="Calibri"/>
        <family val="2"/>
        <scheme val="minor"/>
      </rPr>
      <t>"← Cancelar y volver al inicio"</t>
    </r>
    <r>
      <rPr>
        <sz val="11"/>
        <color theme="1"/>
        <rFont val="Calibri"/>
        <family val="2"/>
        <scheme val="minor"/>
      </rPr>
      <t xml:space="preserve"> para otorgarle total libertad de movimiento al residente.</t>
    </r>
  </si>
  <si>
    <t>H1 Visibilidad del estado del sistema</t>
  </si>
  <si>
    <t>H10 Ayuda y documentación</t>
  </si>
  <si>
    <t>H3 Control y libertad del usuario</t>
  </si>
  <si>
    <t>h5 Prevención de errores</t>
  </si>
  <si>
    <t>h6 Reconocer en lugar de recordar</t>
  </si>
  <si>
    <t>h2 Relación entre el sistema y el mundo real</t>
  </si>
  <si>
    <t>H4 Consistencia y estándares</t>
  </si>
  <si>
    <t>H5 Prevención de errores</t>
  </si>
  <si>
    <t xml:space="preserve"> H4 Consistencia y estándares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</si>
</sst>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0"/>
      <color rgb="FFFFFFFF"/>
      <name val="Arial"/>
      <family val="2"/>
    </font>
    <font>
      <sz val="10"/>
      <color rgb="FF2C2C2A"/>
      <name val="Arial"/>
      <family val="2"/>
    </font>
    <font>
      <b/>
      <sz val="10"/>
      <color rgb="FF5F5E5A"/>
      <name val="Arial"/>
      <family val="2"/>
    </font>
    <font>
      <b/>
      <sz val="13"/>
      <name val="Arial"/>
      <family val="2"/>
    </font>
    <font>
      <b/>
      <sz val="16"/>
      <name val="Arial"/>
      <family val="2"/>
    </font>
    <font>
      <sz val="11"/>
      <name val="Calibri"/>
      <family val="2"/>
      <scheme val="minor"/>
    </font>
    <font>
      <i/>
      <sz val="11"/>
      <name val="Arial"/>
      <family val="2"/>
    </font>
    <font>
      <b/>
      <sz val="10"/>
      <name val="Arial"/>
      <family val="2"/>
    </font>
    <font>
      <sz val="10"/>
      <name val="Arial"/>
      <family val="2"/>
    </font>
    <font>
      <b/>
      <sz val="12"/>
      <name val="Arial"/>
      <family val="2"/>
    </font>
    <font>
      <i/>
      <sz val="9"/>
      <name val="Arial"/>
      <family val="2"/>
    </font>
    <font>
      <sz val="12"/>
      <name val="Arial"/>
      <family val="2"/>
    </font>
    <font>
      <sz val="14"/>
      <name val="Arial"/>
      <family val="2"/>
    </font>
    <font>
      <b/>
      <sz val="11"/>
      <name val="Arial"/>
      <family val="2"/>
    </font>
    <font>
      <b/>
      <sz val="11"/>
      <color theme="1"/>
      <name val="Calibri"/>
      <family val="2"/>
      <scheme val="minor"/>
    </font>
    <font>
      <sz val="10"/>
      <color theme="1"/>
      <name val="Arial Unicode MS"/>
      <family val="2"/>
    </font>
    <font>
      <i/>
      <sz val="11"/>
      <color theme="1"/>
      <name val="Calibri"/>
      <family val="2"/>
      <scheme val="minor"/>
    </font>
    <font>
      <b/>
      <sz val="10"/>
      <color theme="1"/>
      <name val="Arial Unicode MS"/>
      <family val="2"/>
    </font>
  </fonts>
  <fills count="8">
    <fill>
      <patternFill patternType="none"/>
    </fill>
    <fill>
      <patternFill patternType="gray125"/>
    </fill>
    <fill>
      <patternFill patternType="solid">
        <fgColor rgb="FF5F5E5A"/>
      </patternFill>
    </fill>
    <fill>
      <patternFill patternType="solid">
        <fgColor rgb="FFF8F8F6"/>
      </patternFill>
    </fill>
    <fill>
      <patternFill patternType="solid">
        <fgColor rgb="FFFFFFFF"/>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F8F8F6"/>
        <bgColor indexed="64"/>
      </patternFill>
    </fill>
  </fills>
  <borders count="3">
    <border>
      <left/>
      <right/>
      <top/>
      <bottom/>
      <diagonal/>
    </border>
    <border>
      <left style="thin">
        <color rgb="FFD3D1C7"/>
      </left>
      <right style="thin">
        <color rgb="FFD3D1C7"/>
      </right>
      <top style="thin">
        <color rgb="FFD3D1C7"/>
      </top>
      <bottom style="thin">
        <color rgb="FFD3D1C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2"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3" borderId="2" xfId="0" applyFont="1" applyFill="1" applyBorder="1" applyAlignment="1">
      <alignment horizontal="left" vertical="center" wrapText="1"/>
    </xf>
    <xf numFmtId="0" fontId="8" fillId="6" borderId="1" xfId="0" applyFont="1" applyFill="1" applyBorder="1" applyAlignment="1">
      <alignment horizontal="left" vertical="center" wrapText="1"/>
    </xf>
    <xf numFmtId="164" fontId="6"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164" fontId="6"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0" xfId="0" applyAlignment="1">
      <alignment vertical="center" wrapText="1"/>
    </xf>
    <xf numFmtId="0" fontId="2" fillId="7" borderId="1" xfId="0" applyFont="1" applyFill="1" applyBorder="1" applyAlignment="1">
      <alignment horizontal="lef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16" fillId="7" borderId="0" xfId="0" applyFont="1" applyFill="1" applyAlignment="1">
      <alignment vertical="center" wrapText="1"/>
    </xf>
    <xf numFmtId="0" fontId="16" fillId="0" borderId="0" xfId="0" applyFont="1" applyAlignment="1">
      <alignment vertical="center" wrapText="1"/>
    </xf>
    <xf numFmtId="0" fontId="15" fillId="0" borderId="0" xfId="0" applyFont="1" applyAlignment="1">
      <alignment vertical="center" wrapText="1"/>
    </xf>
    <xf numFmtId="0" fontId="5" fillId="5" borderId="0" xfId="0" applyFont="1" applyFill="1" applyAlignment="1">
      <alignment horizontal="center" vertical="center" wrapText="1"/>
    </xf>
    <xf numFmtId="0" fontId="6" fillId="5" borderId="0" xfId="0" applyFont="1" applyFill="1"/>
    <xf numFmtId="0" fontId="9" fillId="0" borderId="2" xfId="0" applyFont="1" applyBorder="1" applyAlignment="1">
      <alignment horizontal="left" vertical="center" wrapText="1"/>
    </xf>
    <xf numFmtId="0" fontId="6" fillId="0" borderId="2" xfId="0" applyFont="1" applyBorder="1"/>
    <xf numFmtId="0" fontId="7" fillId="5" borderId="0" xfId="0" applyFont="1" applyFill="1" applyAlignment="1">
      <alignment horizontal="center" vertical="center" wrapText="1"/>
    </xf>
    <xf numFmtId="0" fontId="8" fillId="0" borderId="2" xfId="0" applyFont="1" applyBorder="1" applyAlignment="1">
      <alignment horizontal="left" vertical="center" wrapText="1"/>
    </xf>
    <xf numFmtId="0" fontId="8" fillId="5" borderId="2" xfId="0" applyFont="1" applyFill="1" applyBorder="1" applyAlignment="1">
      <alignment horizontal="left" vertical="center" wrapText="1"/>
    </xf>
    <xf numFmtId="0" fontId="6" fillId="5" borderId="2" xfId="0" applyFont="1" applyFill="1" applyBorder="1"/>
    <xf numFmtId="0" fontId="11" fillId="5" borderId="0" xfId="0" applyFont="1" applyFill="1" applyAlignment="1">
      <alignment horizontal="center" vertical="center" wrapText="1"/>
    </xf>
    <xf numFmtId="0" fontId="6" fillId="5" borderId="0" xfId="0" applyFont="1" applyFill="1" applyAlignment="1">
      <alignment wrapText="1"/>
    </xf>
    <xf numFmtId="0" fontId="4" fillId="5" borderId="0" xfId="0" applyFont="1" applyFill="1" applyAlignment="1">
      <alignment horizontal="center" vertical="center" wrapText="1"/>
    </xf>
    <xf numFmtId="0" fontId="1" fillId="2" borderId="0" xfId="0" applyFont="1" applyFill="1" applyAlignment="1">
      <alignment horizontal="left" vertical="center" wrapText="1"/>
    </xf>
    <xf numFmtId="0" fontId="0" fillId="0" borderId="0" xfId="0"/>
    <xf numFmtId="0" fontId="13" fillId="4" borderId="2" xfId="0" applyFont="1" applyFill="1" applyBorder="1" applyAlignment="1">
      <alignment horizontal="center" vertical="center" wrapText="1"/>
    </xf>
    <xf numFmtId="0" fontId="8" fillId="5" borderId="0" xfId="0" applyFont="1" applyFill="1" applyAlignment="1">
      <alignment horizontal="left" vertical="center" wrapText="1"/>
    </xf>
    <xf numFmtId="164" fontId="13" fillId="4" borderId="2" xfId="0" applyNumberFormat="1" applyFont="1" applyFill="1" applyBorder="1" applyAlignment="1">
      <alignment horizontal="center" vertical="center" wrapText="1"/>
    </xf>
  </cellXfs>
  <cellStyles count="1">
    <cellStyle name="Normal" xfId="0" builtinId="0"/>
  </cellStyles>
  <dxfs count="8">
    <dxf>
      <font>
        <color rgb="FF27500A"/>
        <name val="Arial"/>
      </font>
      <fill>
        <patternFill>
          <bgColor rgb="FFEAF3DE"/>
        </patternFill>
      </fill>
    </dxf>
    <dxf>
      <font>
        <b/>
        <color rgb="FF633806"/>
        <name val="Arial"/>
      </font>
      <fill>
        <patternFill>
          <bgColor rgb="FFFAEEDA"/>
        </patternFill>
      </fill>
    </dxf>
    <dxf>
      <font>
        <b/>
        <color rgb="FF791F1F"/>
        <name val="Arial"/>
      </font>
      <fill>
        <patternFill>
          <bgColor rgb="FFFCEBEB"/>
        </patternFill>
      </fill>
    </dxf>
    <dxf>
      <font>
        <b/>
        <sz val="13"/>
        <color rgb="FF791F1F"/>
        <name val="Arial"/>
      </font>
      <fill>
        <patternFill>
          <bgColor rgb="FFFCEBEB"/>
        </patternFill>
      </fill>
    </dxf>
    <dxf>
      <font>
        <b/>
        <sz val="13"/>
        <color rgb="FF8B4000"/>
        <name val="Arial"/>
      </font>
      <fill>
        <patternFill>
          <bgColor rgb="FFFCEBD0"/>
        </patternFill>
      </fill>
    </dxf>
    <dxf>
      <font>
        <b/>
        <sz val="13"/>
        <color rgb="FF633806"/>
        <name val="Arial"/>
      </font>
      <fill>
        <patternFill>
          <bgColor rgb="FFFAEEDA"/>
        </patternFill>
      </fill>
    </dxf>
    <dxf>
      <font>
        <b/>
        <sz val="13"/>
        <color rgb="FF633806"/>
        <name val="Arial"/>
      </font>
      <fill>
        <patternFill>
          <bgColor rgb="FFFFF9F0"/>
        </patternFill>
      </fill>
    </dxf>
    <dxf>
      <font>
        <b/>
        <sz val="13"/>
        <color rgb="FF5F5E5A"/>
        <name val="Arial"/>
      </font>
      <fill>
        <patternFill>
          <bgColor rgb="FFFFFFFF"/>
        </patternFill>
      </fill>
    </dxf>
  </dxfs>
  <tableStyles count="0" defaultTableStyle="TableStyleMedium9" defaultPivotStyle="PivotStyleLight16"/>
  <colors>
    <mruColors>
      <color rgb="FFF8F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showGridLines="0" topLeftCell="A4" zoomScale="140" zoomScaleNormal="140" workbookViewId="0">
      <selection activeCell="B8" sqref="B8:E8"/>
    </sheetView>
  </sheetViews>
  <sheetFormatPr baseColWidth="10" defaultColWidth="8.7109375" defaultRowHeight="15" x14ac:dyDescent="0.25"/>
  <cols>
    <col min="1" max="1" width="2" customWidth="1"/>
    <col min="2" max="2" width="22" customWidth="1"/>
    <col min="3" max="3" width="50" customWidth="1"/>
    <col min="4" max="4" width="22" customWidth="1"/>
    <col min="5" max="5" width="18" customWidth="1"/>
  </cols>
  <sheetData>
    <row r="2" spans="2:5" ht="40.15" customHeight="1" x14ac:dyDescent="0.25">
      <c r="B2" s="28" t="s">
        <v>0</v>
      </c>
      <c r="C2" s="29"/>
      <c r="D2" s="29"/>
      <c r="E2" s="29"/>
    </row>
    <row r="3" spans="2:5" ht="22.15" customHeight="1" x14ac:dyDescent="0.25">
      <c r="B3" s="32" t="s">
        <v>103</v>
      </c>
      <c r="C3" s="29"/>
      <c r="D3" s="29"/>
      <c r="E3" s="29"/>
    </row>
    <row r="5" spans="2:5" ht="18" customHeight="1" x14ac:dyDescent="0.25">
      <c r="B5" s="34" t="s">
        <v>1</v>
      </c>
      <c r="C5" s="35"/>
      <c r="D5" s="35"/>
      <c r="E5" s="35"/>
    </row>
    <row r="6" spans="2:5" ht="18" customHeight="1" x14ac:dyDescent="0.25">
      <c r="B6" s="30" t="s">
        <v>2</v>
      </c>
      <c r="C6" s="31"/>
      <c r="D6" s="31"/>
      <c r="E6" s="31"/>
    </row>
    <row r="7" spans="2:5" ht="18" customHeight="1" x14ac:dyDescent="0.25">
      <c r="B7" s="30" t="s">
        <v>3</v>
      </c>
      <c r="C7" s="31"/>
      <c r="D7" s="31"/>
      <c r="E7" s="31"/>
    </row>
    <row r="8" spans="2:5" ht="18" customHeight="1" x14ac:dyDescent="0.25">
      <c r="B8" s="30" t="s">
        <v>4</v>
      </c>
      <c r="C8" s="31"/>
      <c r="D8" s="31"/>
      <c r="E8" s="31"/>
    </row>
    <row r="9" spans="2:5" ht="18" customHeight="1" x14ac:dyDescent="0.25">
      <c r="B9" s="30" t="s">
        <v>5</v>
      </c>
      <c r="C9" s="31"/>
      <c r="D9" s="31"/>
      <c r="E9" s="31"/>
    </row>
    <row r="10" spans="2:5" ht="18" customHeight="1" x14ac:dyDescent="0.25">
      <c r="B10" s="30" t="s">
        <v>6</v>
      </c>
      <c r="C10" s="31"/>
      <c r="D10" s="31"/>
      <c r="E10" s="31"/>
    </row>
    <row r="11" spans="2:5" ht="18" customHeight="1" x14ac:dyDescent="0.25">
      <c r="B11" s="30" t="s">
        <v>7</v>
      </c>
      <c r="C11" s="31"/>
      <c r="D11" s="31"/>
      <c r="E11" s="31"/>
    </row>
    <row r="12" spans="2:5" ht="18" customHeight="1" x14ac:dyDescent="0.25">
      <c r="B12" s="30" t="s">
        <v>8</v>
      </c>
      <c r="C12" s="31"/>
      <c r="D12" s="31"/>
      <c r="E12" s="31"/>
    </row>
    <row r="15" spans="2:5" ht="18" customHeight="1" x14ac:dyDescent="0.25">
      <c r="B15" s="33" t="s">
        <v>9</v>
      </c>
      <c r="C15" s="31"/>
      <c r="D15" s="31"/>
      <c r="E15" s="31"/>
    </row>
    <row r="16" spans="2:5" ht="18" customHeight="1" x14ac:dyDescent="0.25">
      <c r="B16" s="7" t="s">
        <v>10</v>
      </c>
      <c r="C16" s="30" t="s">
        <v>11</v>
      </c>
      <c r="D16" s="31"/>
      <c r="E16" s="31"/>
    </row>
    <row r="17" spans="2:5" ht="18" customHeight="1" x14ac:dyDescent="0.25">
      <c r="B17" s="7" t="s">
        <v>12</v>
      </c>
      <c r="C17" s="30" t="s">
        <v>104</v>
      </c>
      <c r="D17" s="31"/>
      <c r="E17" s="31"/>
    </row>
    <row r="18" spans="2:5" ht="18" customHeight="1" x14ac:dyDescent="0.25">
      <c r="B18" s="7" t="s">
        <v>13</v>
      </c>
      <c r="C18" s="30" t="s">
        <v>105</v>
      </c>
      <c r="D18" s="31"/>
      <c r="E18" s="31"/>
    </row>
    <row r="19" spans="2:5" ht="18" customHeight="1" x14ac:dyDescent="0.25">
      <c r="B19" s="7" t="s">
        <v>14</v>
      </c>
      <c r="C19" s="30" t="s">
        <v>106</v>
      </c>
      <c r="D19" s="31"/>
      <c r="E19" s="31"/>
    </row>
    <row r="20" spans="2:5" ht="18" customHeight="1" x14ac:dyDescent="0.25">
      <c r="B20" s="7" t="s">
        <v>15</v>
      </c>
      <c r="C20" s="30" t="s">
        <v>107</v>
      </c>
      <c r="D20" s="31"/>
      <c r="E20" s="31"/>
    </row>
  </sheetData>
  <mergeCells count="16">
    <mergeCell ref="C20:E20"/>
    <mergeCell ref="B9:E9"/>
    <mergeCell ref="B15:E15"/>
    <mergeCell ref="C16:E16"/>
    <mergeCell ref="B5:E5"/>
    <mergeCell ref="B2:E2"/>
    <mergeCell ref="C19:E19"/>
    <mergeCell ref="B6:E6"/>
    <mergeCell ref="B12:E12"/>
    <mergeCell ref="B8:E8"/>
    <mergeCell ref="C18:E18"/>
    <mergeCell ref="B3:E3"/>
    <mergeCell ref="B11:E11"/>
    <mergeCell ref="B7:E7"/>
    <mergeCell ref="C17:E17"/>
    <mergeCell ref="B10:E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zoomScale="70" zoomScaleNormal="70" workbookViewId="0">
      <pane ySplit="3" topLeftCell="A7" activePane="bottomLeft" state="frozen"/>
      <selection pane="bottomLeft" activeCell="B4" sqref="B4"/>
    </sheetView>
  </sheetViews>
  <sheetFormatPr baseColWidth="10" defaultColWidth="8.7109375" defaultRowHeight="15" x14ac:dyDescent="0.25"/>
  <cols>
    <col min="1" max="1" width="5" customWidth="1"/>
    <col min="2" max="2" width="30.5703125" customWidth="1"/>
    <col min="3" max="3" width="32" customWidth="1"/>
    <col min="4" max="4" width="28" customWidth="1"/>
    <col min="5" max="5" width="12" customWidth="1"/>
    <col min="6" max="6" width="26" customWidth="1"/>
    <col min="7" max="7" width="30" customWidth="1"/>
    <col min="8" max="8" width="16" customWidth="1"/>
  </cols>
  <sheetData>
    <row r="1" spans="1:8" ht="31.9" customHeight="1" x14ac:dyDescent="0.25">
      <c r="A1" s="38" t="s">
        <v>16</v>
      </c>
      <c r="B1" s="37"/>
      <c r="C1" s="37"/>
      <c r="D1" s="37"/>
      <c r="E1" s="37"/>
      <c r="F1" s="37"/>
      <c r="G1" s="37"/>
      <c r="H1" s="37"/>
    </row>
    <row r="2" spans="1:8" ht="16.149999999999999" customHeight="1" x14ac:dyDescent="0.25">
      <c r="A2" s="36" t="s">
        <v>17</v>
      </c>
      <c r="B2" s="37"/>
      <c r="C2" s="37"/>
      <c r="D2" s="37"/>
      <c r="E2" s="37"/>
      <c r="F2" s="37"/>
      <c r="G2" s="37"/>
      <c r="H2" s="37"/>
    </row>
    <row r="3" spans="1:8" ht="31.9" customHeight="1" x14ac:dyDescent="0.25">
      <c r="A3" s="8" t="s">
        <v>18</v>
      </c>
      <c r="B3" s="8" t="s">
        <v>19</v>
      </c>
      <c r="C3" s="8" t="s">
        <v>20</v>
      </c>
      <c r="D3" s="8" t="s">
        <v>109</v>
      </c>
      <c r="E3" s="8" t="s">
        <v>21</v>
      </c>
      <c r="F3" s="8" t="s">
        <v>22</v>
      </c>
      <c r="G3" s="8" t="s">
        <v>23</v>
      </c>
      <c r="H3" s="8" t="s">
        <v>24</v>
      </c>
    </row>
    <row r="4" spans="1:8" ht="195" customHeight="1" x14ac:dyDescent="0.25">
      <c r="A4" s="2">
        <v>1</v>
      </c>
      <c r="B4" s="24" t="s">
        <v>146</v>
      </c>
      <c r="C4" s="24" t="s">
        <v>114</v>
      </c>
      <c r="D4" s="24" t="s">
        <v>115</v>
      </c>
      <c r="E4" s="25">
        <v>4</v>
      </c>
      <c r="F4" s="24" t="s">
        <v>116</v>
      </c>
      <c r="G4" s="24" t="s">
        <v>117</v>
      </c>
      <c r="H4" s="3" t="s">
        <v>53</v>
      </c>
    </row>
    <row r="5" spans="1:8" ht="168" customHeight="1" x14ac:dyDescent="0.25">
      <c r="A5" s="5">
        <v>2</v>
      </c>
      <c r="B5" s="21" t="s">
        <v>154</v>
      </c>
      <c r="C5" s="21" t="s">
        <v>113</v>
      </c>
      <c r="D5" s="21" t="s">
        <v>120</v>
      </c>
      <c r="E5" s="26">
        <v>2</v>
      </c>
      <c r="F5" s="21" t="s">
        <v>119</v>
      </c>
      <c r="G5" s="21" t="s">
        <v>118</v>
      </c>
      <c r="H5" s="1"/>
    </row>
    <row r="6" spans="1:8" ht="186.75" customHeight="1" x14ac:dyDescent="0.25">
      <c r="A6" s="2">
        <v>3</v>
      </c>
      <c r="B6" s="24" t="s">
        <v>152</v>
      </c>
      <c r="C6" s="24" t="s">
        <v>112</v>
      </c>
      <c r="D6" s="24" t="s">
        <v>121</v>
      </c>
      <c r="E6" s="25">
        <v>1</v>
      </c>
      <c r="F6" s="24" t="s">
        <v>119</v>
      </c>
      <c r="G6" s="24" t="s">
        <v>122</v>
      </c>
      <c r="H6" s="3">
        <v>2</v>
      </c>
    </row>
    <row r="7" spans="1:8" ht="147.75" customHeight="1" x14ac:dyDescent="0.25">
      <c r="A7" s="5">
        <v>4</v>
      </c>
      <c r="B7" s="21" t="s">
        <v>153</v>
      </c>
      <c r="C7" s="21" t="s">
        <v>111</v>
      </c>
      <c r="D7" s="21" t="s">
        <v>123</v>
      </c>
      <c r="E7" s="26">
        <v>2</v>
      </c>
      <c r="F7" s="21" t="s">
        <v>124</v>
      </c>
      <c r="G7" s="21" t="s">
        <v>125</v>
      </c>
      <c r="H7" s="1"/>
    </row>
    <row r="8" spans="1:8" ht="171.75" customHeight="1" x14ac:dyDescent="0.25">
      <c r="A8" s="2">
        <v>5</v>
      </c>
      <c r="B8" s="23" t="s">
        <v>152</v>
      </c>
      <c r="C8" s="24" t="s">
        <v>110</v>
      </c>
      <c r="D8" s="24" t="s">
        <v>126</v>
      </c>
      <c r="E8" s="25">
        <v>2</v>
      </c>
      <c r="F8" s="24" t="s">
        <v>127</v>
      </c>
      <c r="G8" s="24" t="s">
        <v>128</v>
      </c>
      <c r="H8" s="22"/>
    </row>
    <row r="9" spans="1:8" ht="193.5" customHeight="1" x14ac:dyDescent="0.25">
      <c r="A9" s="5">
        <v>6</v>
      </c>
      <c r="B9" s="21" t="s">
        <v>151</v>
      </c>
      <c r="C9" s="27" t="s">
        <v>129</v>
      </c>
      <c r="D9" s="21" t="s">
        <v>130</v>
      </c>
      <c r="E9" s="26">
        <v>1</v>
      </c>
      <c r="F9" s="21" t="s">
        <v>131</v>
      </c>
      <c r="G9" s="21" t="s">
        <v>132</v>
      </c>
      <c r="H9" s="1"/>
    </row>
    <row r="10" spans="1:8" ht="219.75" customHeight="1" x14ac:dyDescent="0.25">
      <c r="A10" s="2">
        <v>7</v>
      </c>
      <c r="B10" s="24" t="s">
        <v>150</v>
      </c>
      <c r="C10" s="24" t="s">
        <v>133</v>
      </c>
      <c r="D10" s="24" t="s">
        <v>134</v>
      </c>
      <c r="E10" s="25" t="s">
        <v>135</v>
      </c>
      <c r="F10" s="24" t="s">
        <v>131</v>
      </c>
      <c r="G10" s="24" t="s">
        <v>136</v>
      </c>
      <c r="H10" s="3"/>
    </row>
    <row r="11" spans="1:8" ht="194.25" customHeight="1" x14ac:dyDescent="0.25">
      <c r="A11" s="5">
        <v>8</v>
      </c>
      <c r="B11" s="21" t="s">
        <v>149</v>
      </c>
      <c r="C11" s="21" t="s">
        <v>137</v>
      </c>
      <c r="D11" s="21" t="s">
        <v>138</v>
      </c>
      <c r="E11" s="26">
        <v>2</v>
      </c>
      <c r="F11" s="21" t="s">
        <v>131</v>
      </c>
      <c r="G11" s="21" t="s">
        <v>139</v>
      </c>
      <c r="H11" s="1"/>
    </row>
    <row r="12" spans="1:8" ht="194.25" customHeight="1" x14ac:dyDescent="0.25">
      <c r="A12" s="2">
        <v>9</v>
      </c>
      <c r="B12" s="24" t="s">
        <v>147</v>
      </c>
      <c r="C12" s="24" t="s">
        <v>140</v>
      </c>
      <c r="D12" s="24" t="s">
        <v>141</v>
      </c>
      <c r="E12" s="25">
        <v>2</v>
      </c>
      <c r="F12" s="24" t="s">
        <v>116</v>
      </c>
      <c r="G12" s="24" t="s">
        <v>142</v>
      </c>
      <c r="H12" s="3">
        <v>0</v>
      </c>
    </row>
    <row r="13" spans="1:8" ht="257.25" customHeight="1" x14ac:dyDescent="0.25">
      <c r="A13" s="5">
        <v>10</v>
      </c>
      <c r="B13" s="21" t="s">
        <v>148</v>
      </c>
      <c r="C13" s="21" t="s">
        <v>143</v>
      </c>
      <c r="D13" s="21" t="s">
        <v>144</v>
      </c>
      <c r="E13" s="6">
        <v>3</v>
      </c>
      <c r="F13" s="26"/>
      <c r="G13" s="21" t="s">
        <v>145</v>
      </c>
      <c r="H13" s="1">
        <v>1</v>
      </c>
    </row>
    <row r="14" spans="1:8" ht="42" customHeight="1" x14ac:dyDescent="0.25">
      <c r="A14" s="2">
        <v>11</v>
      </c>
      <c r="B14" s="3"/>
      <c r="C14" s="3"/>
      <c r="D14" s="3"/>
      <c r="E14" s="4"/>
      <c r="F14" s="3"/>
      <c r="G14" s="3"/>
      <c r="H14" s="3"/>
    </row>
    <row r="15" spans="1:8" ht="42" customHeight="1" x14ac:dyDescent="0.25">
      <c r="A15" s="5">
        <v>12</v>
      </c>
      <c r="B15" s="3"/>
      <c r="C15" s="1"/>
      <c r="D15" s="1"/>
      <c r="E15" s="6"/>
      <c r="F15" s="1"/>
      <c r="G15" s="1"/>
      <c r="H15" s="1"/>
    </row>
    <row r="16" spans="1:8" ht="42" customHeight="1" x14ac:dyDescent="0.25">
      <c r="A16" s="2">
        <v>13</v>
      </c>
      <c r="B16" s="3"/>
      <c r="C16" s="3"/>
      <c r="D16" s="3"/>
      <c r="E16" s="4"/>
      <c r="F16" s="3"/>
      <c r="G16" s="3"/>
      <c r="H16" s="3"/>
    </row>
    <row r="17" spans="1:8" ht="42" customHeight="1" x14ac:dyDescent="0.25">
      <c r="A17" s="5">
        <v>14</v>
      </c>
      <c r="B17" s="3"/>
      <c r="C17" s="1"/>
      <c r="D17" s="1"/>
      <c r="E17" s="6"/>
      <c r="F17" s="1"/>
      <c r="G17" s="1"/>
      <c r="H17" s="1"/>
    </row>
    <row r="18" spans="1:8" ht="42" customHeight="1" x14ac:dyDescent="0.25">
      <c r="A18" s="2">
        <v>15</v>
      </c>
      <c r="B18" s="3"/>
      <c r="C18" s="3"/>
      <c r="D18" s="3"/>
      <c r="E18" s="4"/>
      <c r="F18" s="3"/>
      <c r="G18" s="3"/>
      <c r="H18" s="3"/>
    </row>
    <row r="19" spans="1:8" ht="42" customHeight="1" x14ac:dyDescent="0.25">
      <c r="A19" s="5">
        <v>16</v>
      </c>
      <c r="B19" s="3"/>
      <c r="C19" s="1"/>
      <c r="D19" s="1"/>
      <c r="E19" s="6"/>
      <c r="F19" s="1"/>
      <c r="G19" s="1"/>
      <c r="H19" s="1"/>
    </row>
    <row r="20" spans="1:8" ht="42" customHeight="1" x14ac:dyDescent="0.25">
      <c r="A20" s="2">
        <v>17</v>
      </c>
      <c r="B20" s="3"/>
      <c r="C20" s="3"/>
      <c r="D20" s="3"/>
      <c r="E20" s="4"/>
      <c r="F20" s="3"/>
      <c r="G20" s="3"/>
      <c r="H20" s="3"/>
    </row>
    <row r="21" spans="1:8" ht="42" customHeight="1" x14ac:dyDescent="0.25">
      <c r="A21" s="5">
        <v>18</v>
      </c>
      <c r="B21" s="3"/>
      <c r="C21" s="1"/>
      <c r="D21" s="1"/>
      <c r="E21" s="6"/>
      <c r="F21" s="1"/>
      <c r="G21" s="1"/>
      <c r="H21" s="1"/>
    </row>
    <row r="22" spans="1:8" ht="42" customHeight="1" x14ac:dyDescent="0.25">
      <c r="A22" s="2">
        <v>19</v>
      </c>
      <c r="B22" s="3"/>
      <c r="C22" s="3"/>
      <c r="D22" s="3"/>
      <c r="E22" s="4"/>
      <c r="F22" s="3"/>
      <c r="G22" s="3"/>
      <c r="H22" s="3"/>
    </row>
    <row r="23" spans="1:8" ht="42" customHeight="1" x14ac:dyDescent="0.25">
      <c r="A23" s="5">
        <v>20</v>
      </c>
      <c r="B23" s="3"/>
      <c r="C23" s="1"/>
      <c r="D23" s="1"/>
      <c r="E23" s="6"/>
      <c r="F23" s="1"/>
      <c r="G23" s="1"/>
      <c r="H23" s="1"/>
    </row>
    <row r="24" spans="1:8" ht="42" customHeight="1" x14ac:dyDescent="0.25">
      <c r="A24" s="2">
        <v>21</v>
      </c>
      <c r="B24" s="3"/>
      <c r="C24" s="3"/>
      <c r="D24" s="3"/>
      <c r="E24" s="4"/>
      <c r="F24" s="3"/>
      <c r="G24" s="3"/>
      <c r="H24" s="3"/>
    </row>
    <row r="25" spans="1:8" ht="42" customHeight="1" x14ac:dyDescent="0.25">
      <c r="A25" s="5">
        <v>22</v>
      </c>
      <c r="B25" s="3"/>
      <c r="C25" s="1"/>
      <c r="D25" s="1"/>
      <c r="E25" s="6"/>
      <c r="F25" s="1"/>
      <c r="G25" s="1"/>
      <c r="H25" s="1"/>
    </row>
    <row r="26" spans="1:8" ht="42" customHeight="1" x14ac:dyDescent="0.25">
      <c r="A26" s="2">
        <v>23</v>
      </c>
      <c r="B26" s="3"/>
      <c r="C26" s="3"/>
      <c r="D26" s="3"/>
      <c r="E26" s="4"/>
      <c r="F26" s="3"/>
      <c r="G26" s="3"/>
      <c r="H26" s="3"/>
    </row>
    <row r="27" spans="1:8" ht="42" customHeight="1" x14ac:dyDescent="0.25">
      <c r="A27" s="5">
        <v>24</v>
      </c>
      <c r="B27" s="3"/>
      <c r="C27" s="1"/>
      <c r="D27" s="1"/>
      <c r="E27" s="6"/>
      <c r="F27" s="1"/>
      <c r="G27" s="1"/>
      <c r="H27" s="1"/>
    </row>
    <row r="28" spans="1:8" ht="42" customHeight="1" x14ac:dyDescent="0.25">
      <c r="A28" s="2">
        <v>25</v>
      </c>
      <c r="B28" s="3"/>
      <c r="C28" s="3"/>
      <c r="D28" s="3"/>
      <c r="E28" s="4"/>
      <c r="F28" s="3"/>
      <c r="G28" s="3"/>
      <c r="H28" s="3"/>
    </row>
  </sheetData>
  <mergeCells count="2">
    <mergeCell ref="A2:H2"/>
    <mergeCell ref="A1:H1"/>
  </mergeCells>
  <conditionalFormatting sqref="E13:E28">
    <cfRule type="cellIs" dxfId="7" priority="1" operator="equal">
      <formula>0</formula>
    </cfRule>
    <cfRule type="cellIs" dxfId="6" priority="2" operator="equal">
      <formula>1</formula>
    </cfRule>
    <cfRule type="cellIs" dxfId="5" priority="3" operator="equal">
      <formula>2</formula>
    </cfRule>
    <cfRule type="cellIs" dxfId="4" priority="4" operator="equal">
      <formula>3</formula>
    </cfRule>
    <cfRule type="cellIs" dxfId="3" priority="5" operator="equal">
      <formula>4</formula>
    </cfRule>
  </conditionalFormatting>
  <dataValidations count="1">
    <dataValidation type="whole" allowBlank="1" showInputMessage="1" showErrorMessage="1" errorTitle="Severidad invalida" error="Ingrese un numero entre 0 y 4." promptTitle="Escala de severidad" prompt="0=No problema  1=Cosmético  2=Menor  3=Mayor  4=Catastrófico" sqref="E13:E28" xr:uid="{00000000-0002-0000-0100-000001000000}">
      <formula1>0</formula1>
      <formula2>4</formula2>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allowBlank="1" showErrorMessage="1" errorTitle="Valor invalido" error="Seleccione una heuristica de la lista." xr:uid="{E2509D21-85F4-4A79-AB87-39F88D5376DE}">
          <x14:formula1>
            <xm:f>Resumen!$B$13:$B$22</xm:f>
          </x14:formula1>
          <xm:sqref>B14:B28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22"/>
  <sheetViews>
    <sheetView showGridLines="0" tabSelected="1" workbookViewId="0">
      <selection activeCell="C27" sqref="C27"/>
    </sheetView>
  </sheetViews>
  <sheetFormatPr baseColWidth="10" defaultColWidth="8.7109375" defaultRowHeight="15" x14ac:dyDescent="0.25"/>
  <cols>
    <col min="1" max="1" width="3" customWidth="1"/>
    <col min="2" max="2" width="29.5703125" bestFit="1" customWidth="1"/>
    <col min="3" max="5" width="14" customWidth="1"/>
    <col min="6" max="6" width="18" customWidth="1"/>
    <col min="7" max="7" width="20" customWidth="1"/>
  </cols>
  <sheetData>
    <row r="1" spans="2:7" ht="31.9" customHeight="1" x14ac:dyDescent="0.25">
      <c r="B1" s="38" t="s">
        <v>108</v>
      </c>
      <c r="C1" s="29"/>
      <c r="D1" s="29"/>
      <c r="E1" s="29"/>
      <c r="F1" s="29"/>
      <c r="G1" s="29"/>
    </row>
    <row r="2" spans="2:7" ht="16.149999999999999" customHeight="1" x14ac:dyDescent="0.25">
      <c r="B2" s="36" t="s">
        <v>25</v>
      </c>
      <c r="C2" s="29"/>
      <c r="D2" s="29"/>
      <c r="E2" s="29"/>
      <c r="F2" s="29"/>
      <c r="G2" s="29"/>
    </row>
    <row r="4" spans="2:7" ht="18" customHeight="1" x14ac:dyDescent="0.25">
      <c r="B4" s="39" t="s">
        <v>26</v>
      </c>
      <c r="C4" s="40"/>
      <c r="D4" s="40"/>
      <c r="E4" s="40"/>
      <c r="F4" s="40"/>
      <c r="G4" s="40"/>
    </row>
    <row r="5" spans="2:7" ht="22.15" customHeight="1" x14ac:dyDescent="0.25">
      <c r="B5" s="9" t="s">
        <v>27</v>
      </c>
      <c r="C5" s="41">
        <f>COUNTA(Evaluacion!C4:C28)</f>
        <v>10</v>
      </c>
      <c r="D5" s="31"/>
    </row>
    <row r="6" spans="2:7" ht="22.15" customHeight="1" x14ac:dyDescent="0.25">
      <c r="B6" s="9" t="s">
        <v>28</v>
      </c>
      <c r="C6" s="43">
        <f>IFERROR(AVERAGE(Evaluacion!E4:E28),0)</f>
        <v>2.1111111111111112</v>
      </c>
      <c r="D6" s="31"/>
    </row>
    <row r="7" spans="2:7" ht="22.15" customHeight="1" x14ac:dyDescent="0.25">
      <c r="B7" s="9" t="s">
        <v>29</v>
      </c>
      <c r="C7" s="41">
        <f>COUNTIF(Evaluacion!E4:E28,4)</f>
        <v>1</v>
      </c>
      <c r="D7" s="31"/>
    </row>
    <row r="8" spans="2:7" ht="22.15" customHeight="1" x14ac:dyDescent="0.25">
      <c r="B8" s="9" t="s">
        <v>30</v>
      </c>
      <c r="C8" s="41">
        <f>COUNTIF(Evaluacion!E4:E28,3)</f>
        <v>1</v>
      </c>
      <c r="D8" s="31"/>
    </row>
    <row r="9" spans="2:7" ht="22.15" customHeight="1" x14ac:dyDescent="0.25">
      <c r="B9" s="9" t="s">
        <v>31</v>
      </c>
      <c r="C9" s="41">
        <f>COUNTIFS(Evaluacion!E4:E28,"&gt;=1",Evaluacion!E4:E28,"&lt;=2")</f>
        <v>7</v>
      </c>
      <c r="D9" s="31"/>
    </row>
    <row r="11" spans="2:7" ht="18" customHeight="1" x14ac:dyDescent="0.25">
      <c r="B11" s="42" t="s">
        <v>32</v>
      </c>
      <c r="C11" s="29"/>
      <c r="D11" s="29"/>
      <c r="E11" s="29"/>
      <c r="F11" s="29"/>
      <c r="G11" s="29"/>
    </row>
    <row r="12" spans="2:7" ht="19.899999999999999" customHeight="1" x14ac:dyDescent="0.25">
      <c r="B12" s="8" t="s">
        <v>19</v>
      </c>
      <c r="C12" s="8" t="s">
        <v>33</v>
      </c>
      <c r="D12" s="8" t="s">
        <v>34</v>
      </c>
      <c r="E12" s="8" t="s">
        <v>35</v>
      </c>
      <c r="F12" s="8" t="s">
        <v>36</v>
      </c>
      <c r="G12" s="8" t="s">
        <v>37</v>
      </c>
    </row>
    <row r="13" spans="2:7" ht="19.899999999999999" customHeight="1" x14ac:dyDescent="0.25">
      <c r="B13" s="10" t="s">
        <v>38</v>
      </c>
      <c r="C13" s="16">
        <f>COUNTIF(Evaluacion!B4:B28,"*H1*")</f>
        <v>2</v>
      </c>
      <c r="D13" s="16">
        <f ca="1">IFERROR(_xludf.MAXIFS(Evaluacion!E4:E28,Evaluacion!B4:B28,"*H1*"),0)</f>
        <v>0</v>
      </c>
      <c r="E13" s="11">
        <f>IFERROR(AVERAGEIF(Evaluacion!B4:B28,"*H1*",Evaluacion!E4:E28),0)</f>
        <v>3</v>
      </c>
      <c r="F13" s="12" t="str">
        <f t="shared" ref="F13:F22" ca="1" si="0">IF(C13=0,"Sin problemas",IF(D13&gt;=4,"CRITICO",IF(D13&gt;=3,"MAYOR","MENOR")))</f>
        <v>MENOR</v>
      </c>
      <c r="G13" s="12" t="str">
        <f t="shared" ref="G13:G22" ca="1" si="1">IF(C13=0,"Sin problemas",IF(D13=4,"1 - Inmediata",IF(D13=3,"2 - Alta",IF(D13=2,"3 - Media","4 - Baja"))))</f>
        <v>4 - Baja</v>
      </c>
    </row>
    <row r="14" spans="2:7" ht="19.899999999999999" customHeight="1" x14ac:dyDescent="0.25">
      <c r="B14" s="13" t="s">
        <v>39</v>
      </c>
      <c r="C14" s="17">
        <f>COUNTIF(Evaluacion!B4:B28,"*H2*")</f>
        <v>1</v>
      </c>
      <c r="D14" s="17">
        <f ca="1">IFERROR(_xludf.MAXIFS(Evaluacion!E4:E28,Evaluacion!B4:B28,"*H2*"),0)</f>
        <v>0</v>
      </c>
      <c r="E14" s="14">
        <f>IFERROR(AVERAGEIF(Evaluacion!B4:B28,"*H2*",Evaluacion!E4:E28),0)</f>
        <v>1</v>
      </c>
      <c r="F14" s="15" t="str">
        <f t="shared" ca="1" si="0"/>
        <v>MENOR</v>
      </c>
      <c r="G14" s="15" t="str">
        <f t="shared" ca="1" si="1"/>
        <v>4 - Baja</v>
      </c>
    </row>
    <row r="15" spans="2:7" ht="19.899999999999999" customHeight="1" x14ac:dyDescent="0.25">
      <c r="B15" s="10" t="s">
        <v>40</v>
      </c>
      <c r="C15" s="16">
        <f>COUNTIF(Evaluacion!B4:B28,"*H3*")</f>
        <v>1</v>
      </c>
      <c r="D15" s="16">
        <f ca="1">IFERROR(_xludf.MAXIFS(Evaluacion!E4:E28,Evaluacion!B4:B28,"*H3*"),0)</f>
        <v>0</v>
      </c>
      <c r="E15" s="11">
        <f>IFERROR(AVERAGEIF(Evaluacion!B4:B28,"*H3*",Evaluacion!E4:E28),0)</f>
        <v>3</v>
      </c>
      <c r="F15" s="12" t="str">
        <f t="shared" ca="1" si="0"/>
        <v>MENOR</v>
      </c>
      <c r="G15" s="12" t="str">
        <f t="shared" ca="1" si="1"/>
        <v>4 - Baja</v>
      </c>
    </row>
    <row r="16" spans="2:7" ht="19.899999999999999" customHeight="1" x14ac:dyDescent="0.25">
      <c r="B16" s="13" t="s">
        <v>41</v>
      </c>
      <c r="C16" s="17">
        <f>COUNTIF(Evaluacion!B4:B28,"*H4*")</f>
        <v>3</v>
      </c>
      <c r="D16" s="17">
        <f ca="1">IFERROR(_xludf.MAXIFS(Evaluacion!E4:E28,Evaluacion!B4:B28,"*H4*"),0)</f>
        <v>0</v>
      </c>
      <c r="E16" s="14">
        <f>IFERROR(AVERAGEIF(Evaluacion!B4:B28,"*H4*",Evaluacion!E4:E28),0)</f>
        <v>1.6666666666666667</v>
      </c>
      <c r="F16" s="15" t="str">
        <f t="shared" ca="1" si="0"/>
        <v>MENOR</v>
      </c>
      <c r="G16" s="15" t="str">
        <f t="shared" ca="1" si="1"/>
        <v>4 - Baja</v>
      </c>
    </row>
    <row r="17" spans="2:7" ht="19.899999999999999" customHeight="1" x14ac:dyDescent="0.25">
      <c r="B17" s="10" t="s">
        <v>42</v>
      </c>
      <c r="C17" s="16">
        <f>COUNTIF(Evaluacion!B4:B28,"*H5*")</f>
        <v>2</v>
      </c>
      <c r="D17" s="16">
        <f ca="1">IFERROR(_xludf.MAXIFS(Evaluacion!E4:E28,Evaluacion!B4:B28,"*H5*"),0)</f>
        <v>0</v>
      </c>
      <c r="E17" s="11">
        <f>IFERROR(AVERAGEIF(Evaluacion!B4:B28,"*H5*",Evaluacion!E4:E28),0)</f>
        <v>2</v>
      </c>
      <c r="F17" s="12" t="str">
        <f t="shared" ca="1" si="0"/>
        <v>MENOR</v>
      </c>
      <c r="G17" s="12" t="str">
        <f t="shared" ca="1" si="1"/>
        <v>4 - Baja</v>
      </c>
    </row>
    <row r="18" spans="2:7" ht="19.899999999999999" customHeight="1" x14ac:dyDescent="0.25">
      <c r="B18" s="13" t="s">
        <v>43</v>
      </c>
      <c r="C18" s="17">
        <f>COUNTIF(Evaluacion!B4:B28,"*H6*")</f>
        <v>1</v>
      </c>
      <c r="D18" s="17">
        <f ca="1">IFERROR(_xludf.MAXIFS(Evaluacion!E4:E28,Evaluacion!B4:B28,"*H6*"),0)</f>
        <v>0</v>
      </c>
      <c r="E18" s="14">
        <f>IFERROR(AVERAGEIF(Evaluacion!B4:B28,"*H6*",Evaluacion!E4:E28),0)</f>
        <v>0</v>
      </c>
      <c r="F18" s="15" t="str">
        <f t="shared" ca="1" si="0"/>
        <v>MENOR</v>
      </c>
      <c r="G18" s="15" t="str">
        <f t="shared" ca="1" si="1"/>
        <v>4 - Baja</v>
      </c>
    </row>
    <row r="19" spans="2:7" ht="19.899999999999999" customHeight="1" x14ac:dyDescent="0.25">
      <c r="B19" s="10" t="s">
        <v>44</v>
      </c>
      <c r="C19" s="16">
        <f>COUNTIF(Evaluacion!B4:B28,"*H7*")</f>
        <v>0</v>
      </c>
      <c r="D19" s="16">
        <f ca="1">IFERROR(_xludf.MAXIFS(Evaluacion!E4:E28,Evaluacion!B4:B28,"*H7*"),0)</f>
        <v>0</v>
      </c>
      <c r="E19" s="11">
        <f>IFERROR(AVERAGEIF(Evaluacion!B4:B28,"*H7*",Evaluacion!E4:E28),0)</f>
        <v>0</v>
      </c>
      <c r="F19" s="12" t="str">
        <f t="shared" si="0"/>
        <v>Sin problemas</v>
      </c>
      <c r="G19" s="12" t="str">
        <f t="shared" si="1"/>
        <v>Sin problemas</v>
      </c>
    </row>
    <row r="20" spans="2:7" ht="19.899999999999999" customHeight="1" x14ac:dyDescent="0.25">
      <c r="B20" s="13" t="s">
        <v>45</v>
      </c>
      <c r="C20" s="17">
        <f>COUNTIF(Evaluacion!B4:B28,"*H8*")</f>
        <v>0</v>
      </c>
      <c r="D20" s="17">
        <f ca="1">IFERROR(_xludf.MAXIFS(Evaluacion!E4:E28,Evaluacion!B4:B28,"*H8*"),0)</f>
        <v>0</v>
      </c>
      <c r="E20" s="14">
        <f>IFERROR(AVERAGEIF(Evaluacion!B4:B28,"*H8*",Evaluacion!E4:E28),0)</f>
        <v>0</v>
      </c>
      <c r="F20" s="15" t="str">
        <f t="shared" si="0"/>
        <v>Sin problemas</v>
      </c>
      <c r="G20" s="15" t="str">
        <f t="shared" si="1"/>
        <v>Sin problemas</v>
      </c>
    </row>
    <row r="21" spans="2:7" ht="19.899999999999999" customHeight="1" x14ac:dyDescent="0.25">
      <c r="B21" s="10" t="s">
        <v>46</v>
      </c>
      <c r="C21" s="16">
        <f>COUNTIF(Evaluacion!B4:B28,"*H9*")</f>
        <v>0</v>
      </c>
      <c r="D21" s="16">
        <f ca="1">IFERROR(_xludf.MAXIFS(Evaluacion!E4:E28,Evaluacion!B4:B28,"*H9*"),0)</f>
        <v>0</v>
      </c>
      <c r="E21" s="11">
        <f>IFERROR(AVERAGEIF(Evaluacion!B4:B28,"*H9*",Evaluacion!E4:E28),0)</f>
        <v>0</v>
      </c>
      <c r="F21" s="12" t="str">
        <f t="shared" si="0"/>
        <v>Sin problemas</v>
      </c>
      <c r="G21" s="12" t="str">
        <f t="shared" si="1"/>
        <v>Sin problemas</v>
      </c>
    </row>
    <row r="22" spans="2:7" ht="19.899999999999999" customHeight="1" x14ac:dyDescent="0.25">
      <c r="B22" s="13" t="s">
        <v>47</v>
      </c>
      <c r="C22" s="17">
        <f>COUNTIF(Evaluacion!B4:B28,"*H10*")</f>
        <v>1</v>
      </c>
      <c r="D22" s="17">
        <f ca="1">IFERROR(_xludf.MAXIFS(Evaluacion!E4:E28,Evaluacion!B4:B28,"*H10*"),0)</f>
        <v>0</v>
      </c>
      <c r="E22" s="14">
        <f>IFERROR(AVERAGEIF(Evaluacion!B4:B28,"*H10*",Evaluacion!E4:E28),0)</f>
        <v>2</v>
      </c>
      <c r="F22" s="15" t="str">
        <f t="shared" ca="1" si="0"/>
        <v>MENOR</v>
      </c>
      <c r="G22" s="15" t="str">
        <f t="shared" ca="1" si="1"/>
        <v>4 - Baja</v>
      </c>
    </row>
  </sheetData>
  <mergeCells count="9">
    <mergeCell ref="B1:G1"/>
    <mergeCell ref="B4:G4"/>
    <mergeCell ref="C9:D9"/>
    <mergeCell ref="C8:D8"/>
    <mergeCell ref="B11:G11"/>
    <mergeCell ref="B2:G2"/>
    <mergeCell ref="C6:D6"/>
    <mergeCell ref="C7:D7"/>
    <mergeCell ref="C5:D5"/>
  </mergeCells>
  <conditionalFormatting sqref="F13:F22">
    <cfRule type="cellIs" dxfId="2" priority="1" operator="equal">
      <formula>"CRITICO"</formula>
    </cfRule>
    <cfRule type="cellIs" dxfId="1" priority="2" operator="equal">
      <formula>"MAYOR"</formula>
    </cfRule>
    <cfRule type="cellIs" dxfId="0" priority="3" operator="equal">
      <formula>"Sin problemas"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3"/>
  <sheetViews>
    <sheetView showGridLines="0" workbookViewId="0">
      <selection activeCell="B13" sqref="B13"/>
    </sheetView>
  </sheetViews>
  <sheetFormatPr baseColWidth="10" defaultColWidth="8.7109375" defaultRowHeight="15" x14ac:dyDescent="0.25"/>
  <cols>
    <col min="1" max="1" width="3" customWidth="1"/>
    <col min="2" max="2" width="7" customWidth="1"/>
    <col min="3" max="3" width="26" customWidth="1"/>
    <col min="4" max="4" width="38" customWidth="1"/>
    <col min="5" max="5" width="32" customWidth="1"/>
    <col min="6" max="6" width="28" customWidth="1"/>
  </cols>
  <sheetData>
    <row r="1" spans="2:6" ht="31.9" customHeight="1" x14ac:dyDescent="0.25">
      <c r="B1" s="38" t="s">
        <v>48</v>
      </c>
      <c r="C1" s="29"/>
      <c r="D1" s="29"/>
      <c r="E1" s="29"/>
      <c r="F1" s="29"/>
    </row>
    <row r="2" spans="2:6" ht="16.149999999999999" customHeight="1" x14ac:dyDescent="0.25">
      <c r="B2" s="36" t="s">
        <v>49</v>
      </c>
      <c r="C2" s="29"/>
      <c r="D2" s="29"/>
      <c r="E2" s="29"/>
      <c r="F2" s="29"/>
    </row>
    <row r="3" spans="2:6" ht="22.15" customHeight="1" x14ac:dyDescent="0.25">
      <c r="B3" s="8" t="s">
        <v>18</v>
      </c>
      <c r="C3" s="8" t="s">
        <v>19</v>
      </c>
      <c r="D3" s="8" t="s">
        <v>50</v>
      </c>
      <c r="E3" s="8" t="s">
        <v>51</v>
      </c>
      <c r="F3" s="8" t="s">
        <v>52</v>
      </c>
    </row>
    <row r="4" spans="2:6" ht="58.15" customHeight="1" x14ac:dyDescent="0.25">
      <c r="B4" s="18" t="s">
        <v>53</v>
      </c>
      <c r="C4" s="19" t="s">
        <v>54</v>
      </c>
      <c r="D4" s="20" t="s">
        <v>55</v>
      </c>
      <c r="E4" s="20" t="s">
        <v>56</v>
      </c>
      <c r="F4" s="20" t="s">
        <v>57</v>
      </c>
    </row>
    <row r="5" spans="2:6" ht="58.15" customHeight="1" x14ac:dyDescent="0.25">
      <c r="B5" s="18" t="s">
        <v>58</v>
      </c>
      <c r="C5" s="19" t="s">
        <v>59</v>
      </c>
      <c r="D5" s="20" t="s">
        <v>60</v>
      </c>
      <c r="E5" s="20" t="s">
        <v>61</v>
      </c>
      <c r="F5" s="20" t="s">
        <v>62</v>
      </c>
    </row>
    <row r="6" spans="2:6" ht="58.15" customHeight="1" x14ac:dyDescent="0.25">
      <c r="B6" s="18" t="s">
        <v>63</v>
      </c>
      <c r="C6" s="19" t="s">
        <v>64</v>
      </c>
      <c r="D6" s="20" t="s">
        <v>65</v>
      </c>
      <c r="E6" s="20" t="s">
        <v>66</v>
      </c>
      <c r="F6" s="20" t="s">
        <v>67</v>
      </c>
    </row>
    <row r="7" spans="2:6" ht="58.15" customHeight="1" x14ac:dyDescent="0.25">
      <c r="B7" s="18" t="s">
        <v>68</v>
      </c>
      <c r="C7" s="19" t="s">
        <v>69</v>
      </c>
      <c r="D7" s="20" t="s">
        <v>70</v>
      </c>
      <c r="E7" s="20" t="s">
        <v>71</v>
      </c>
      <c r="F7" s="20" t="s">
        <v>72</v>
      </c>
    </row>
    <row r="8" spans="2:6" ht="58.15" customHeight="1" x14ac:dyDescent="0.25">
      <c r="B8" s="18" t="s">
        <v>73</v>
      </c>
      <c r="C8" s="19" t="s">
        <v>74</v>
      </c>
      <c r="D8" s="20" t="s">
        <v>75</v>
      </c>
      <c r="E8" s="20" t="s">
        <v>76</v>
      </c>
      <c r="F8" s="20" t="s">
        <v>77</v>
      </c>
    </row>
    <row r="9" spans="2:6" ht="58.15" customHeight="1" x14ac:dyDescent="0.25">
      <c r="B9" s="18" t="s">
        <v>78</v>
      </c>
      <c r="C9" s="19" t="s">
        <v>79</v>
      </c>
      <c r="D9" s="20" t="s">
        <v>80</v>
      </c>
      <c r="E9" s="20" t="s">
        <v>81</v>
      </c>
      <c r="F9" s="20" t="s">
        <v>82</v>
      </c>
    </row>
    <row r="10" spans="2:6" ht="58.15" customHeight="1" x14ac:dyDescent="0.25">
      <c r="B10" s="18" t="s">
        <v>83</v>
      </c>
      <c r="C10" s="19" t="s">
        <v>84</v>
      </c>
      <c r="D10" s="20" t="s">
        <v>85</v>
      </c>
      <c r="E10" s="20" t="s">
        <v>86</v>
      </c>
      <c r="F10" s="20" t="s">
        <v>87</v>
      </c>
    </row>
    <row r="11" spans="2:6" ht="58.15" customHeight="1" x14ac:dyDescent="0.25">
      <c r="B11" s="18" t="s">
        <v>88</v>
      </c>
      <c r="C11" s="19" t="s">
        <v>89</v>
      </c>
      <c r="D11" s="20" t="s">
        <v>90</v>
      </c>
      <c r="E11" s="20" t="s">
        <v>91</v>
      </c>
      <c r="F11" s="20" t="s">
        <v>92</v>
      </c>
    </row>
    <row r="12" spans="2:6" ht="58.15" customHeight="1" x14ac:dyDescent="0.25">
      <c r="B12" s="18" t="s">
        <v>93</v>
      </c>
      <c r="C12" s="19" t="s">
        <v>94</v>
      </c>
      <c r="D12" s="20" t="s">
        <v>95</v>
      </c>
      <c r="E12" s="20" t="s">
        <v>96</v>
      </c>
      <c r="F12" s="20" t="s">
        <v>97</v>
      </c>
    </row>
    <row r="13" spans="2:6" ht="58.15" customHeight="1" x14ac:dyDescent="0.25">
      <c r="B13" s="18" t="s">
        <v>98</v>
      </c>
      <c r="C13" s="19" t="s">
        <v>99</v>
      </c>
      <c r="D13" s="20" t="s">
        <v>100</v>
      </c>
      <c r="E13" s="20" t="s">
        <v>101</v>
      </c>
      <c r="F13" s="20" t="s">
        <v>102</v>
      </c>
    </row>
  </sheetData>
  <mergeCells count="2">
    <mergeCell ref="B2:F2"/>
    <mergeCell ref="B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Evaluacion</vt:lpstr>
      <vt:lpstr>Resumen</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Servicios Digitales Concepcion</cp:lastModifiedBy>
  <dcterms:created xsi:type="dcterms:W3CDTF">2026-06-12T14:00:04Z</dcterms:created>
  <dcterms:modified xsi:type="dcterms:W3CDTF">2026-06-22T16:23:11Z</dcterms:modified>
</cp:coreProperties>
</file>